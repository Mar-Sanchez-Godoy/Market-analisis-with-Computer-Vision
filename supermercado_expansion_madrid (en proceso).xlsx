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mercado_expansion_madrid" sheetId="1" r:id="rId5"/>
  </sheets>
  <definedNames/>
  <calcPr/>
</workbook>
</file>

<file path=xl/sharedStrings.xml><?xml version="1.0" encoding="utf-8"?>
<sst xmlns="http://schemas.openxmlformats.org/spreadsheetml/2006/main" count="201" uniqueCount="172">
  <si>
    <t>SUPERMERCADO DE BARRIO - MADRID | Plan de Expansión con Azure Vision</t>
  </si>
  <si>
    <t>Análisis financiero: situación actual vs. estrategia nueva</t>
  </si>
  <si>
    <t>KPIs: Rotación de Stock · Ticket Medio · Margen Bruto</t>
  </si>
  <si>
    <t>SECCIÓN 1: SITUACIÓN ACTUAL (Baseline)</t>
  </si>
  <si>
    <t>Mes</t>
  </si>
  <si>
    <t>Ingresos Brutos (€)</t>
  </si>
  <si>
    <t>Coste Mercancía (€)</t>
  </si>
  <si>
    <t>Margen Bruto (€)</t>
  </si>
  <si>
    <t>Margen Bruto (%)</t>
  </si>
  <si>
    <t>Ticket Medio (€)</t>
  </si>
  <si>
    <t>Nº Tickets/Mes</t>
  </si>
  <si>
    <t>Rotación de Stock (veces/mes)</t>
  </si>
  <si>
    <t>Mermas y Caducidades (€)</t>
  </si>
  <si>
    <t>Gastos operativos (€)</t>
  </si>
  <si>
    <t>Ganancia neta (€)</t>
  </si>
  <si>
    <t>Gastos Operativos (€)</t>
  </si>
  <si>
    <t>Detalle</t>
  </si>
  <si>
    <t>Enero</t>
  </si>
  <si>
    <t>Alquiler 1.800 + Sueldo 1.690 + Luz 350 + Otros 310</t>
  </si>
  <si>
    <t>Febrero</t>
  </si>
  <si>
    <t>Luz baja, sin extras</t>
  </si>
  <si>
    <t>Marzo</t>
  </si>
  <si>
    <t>Normal</t>
  </si>
  <si>
    <t>Abril</t>
  </si>
  <si>
    <t>Semana Santa → más consumo eléctrico</t>
  </si>
  <si>
    <t>Mayo</t>
  </si>
  <si>
    <t>Suben ventas → más horas de personal</t>
  </si>
  <si>
    <t>Junio</t>
  </si>
  <si>
    <t>Luz más alta por calor</t>
  </si>
  <si>
    <t>Julio</t>
  </si>
  <si>
    <t>Alquiler sube a 1.950 + luz alta</t>
  </si>
  <si>
    <t>Agosto</t>
  </si>
  <si>
    <t>Luz alta, menos personal pero más frío</t>
  </si>
  <si>
    <t>Septiembre</t>
  </si>
  <si>
    <t>Vuelve a la normalidad</t>
  </si>
  <si>
    <t>Octubre</t>
  </si>
  <si>
    <t>Mes estable</t>
  </si>
  <si>
    <t>Noviembre</t>
  </si>
  <si>
    <t>Pre‑campaña navidad</t>
  </si>
  <si>
    <t>Diciembre</t>
  </si>
  <si>
    <t>1 empleado extra (1.690 €) + luz alta + ventas pico</t>
  </si>
  <si>
    <t>MEDIA ANUAL</t>
  </si>
  <si>
    <t>Nota: Ingresos medios entre 20.000€ y 30.000€/mes → usamos 24,636 € como media representativa</t>
  </si>
  <si>
    <t>SECCIÓN 2: ESTRATEGIA NUEVA CON AZURE VISION</t>
  </si>
  <si>
    <t>Impacto esperado por palanca de mejora:</t>
  </si>
  <si>
    <t>Palanca</t>
  </si>
  <si>
    <t>Descripción</t>
  </si>
  <si>
    <t>Mejora Estimada</t>
  </si>
  <si>
    <t>Fuente</t>
  </si>
  <si>
    <t>Identificación de productos con baja rotación</t>
  </si>
  <si>
    <t>Azure Vision detecta productos sin movimiento → reposición o eliminación</t>
  </si>
  <si>
    <t>Reducción mermas 30%</t>
  </si>
  <si>
    <t>McKinsey &amp; Company – Computer Vision &amp; Shrink Reduction</t>
  </si>
  <si>
    <t>Optimización de lineales</t>
  </si>
  <si>
    <t>Productos bien ubicados según frecuencia de compra → mayor conversión</t>
  </si>
  <si>
    <t>Aumento ticket medio 12%</t>
  </si>
  <si>
    <t>NielsenIQ – Shopper Trends 2023</t>
  </si>
  <si>
    <t>Detección de huecos en estanterías</t>
  </si>
  <si>
    <t>Alertas automáticas de stock vacío → menos ventas perdidas</t>
  </si>
  <si>
    <t>Aumento ingresos 8%</t>
  </si>
  <si>
    <t>Circana (antes IRI) – Shelf Availability &amp; Out‑of‑Stock Analytics 2023</t>
  </si>
  <si>
    <t>Incorporación de nuevos productos</t>
  </si>
  <si>
    <t>Análisis de gaps por categoría → ampliar gama con demanda real</t>
  </si>
  <si>
    <t>Aumento ingresos 7%</t>
  </si>
  <si>
    <t>Kantar Worldpanel España – Distribución 2024</t>
  </si>
  <si>
    <t xml:space="preserve">SECCIÓN 3: PROYECCIÓN CON NUEVA ESTRATEGIA (12 meses) </t>
  </si>
  <si>
    <t>Ingresos actuales</t>
  </si>
  <si>
    <t>Ticket actual</t>
  </si>
  <si>
    <t>Mermas actuales</t>
  </si>
  <si>
    <t>Gastos operativos</t>
  </si>
  <si>
    <t>Nuevo Ticket</t>
  </si>
  <si>
    <t>Nuevas Mermas</t>
  </si>
  <si>
    <t>Ingresos +8%</t>
  </si>
  <si>
    <t>Ingresos +7%</t>
  </si>
  <si>
    <t>Ingresos Totales Nuevos</t>
  </si>
  <si>
    <t>Nuevo Coste (€)</t>
  </si>
  <si>
    <t>Ganancia Neta Nueva (€)</t>
  </si>
  <si>
    <t>Margen Neto (%)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</si>
  <si>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</si>
  <si>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</si>
  <si>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</si>
  <si>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</si>
  <si>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</si>
  <si>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</si>
  <si>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</si>
  <si>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</si>
  <si>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</si>
  <si>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</si>
  <si>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</si>
  <si>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KPI</t>
  </si>
  <si>
    <t>Situación Actual</t>
  </si>
  <si>
    <t>Con Nueva Estrategia</t>
  </si>
  <si>
    <t>Variación Absoluta</t>
  </si>
  <si>
    <t>Variación Porcentual</t>
  </si>
  <si>
    <t>Interpretación</t>
  </si>
  <si>
    <t>KPI 1 - Ingresos Mensuales Medios (€)</t>
  </si>
  <si>
    <t>+528</t>
  </si>
  <si>
    <t>+22.2%</t>
  </si>
  <si>
    <t>Meta superada: se estimaba +20%</t>
  </si>
  <si>
    <t>KPI 2 - Ticket Medio (€)</t>
  </si>
  <si>
    <t>+2.2</t>
  </si>
  <si>
    <t>+11.3%</t>
  </si>
  <si>
    <t>Mejora por mejor disposición de productos y nuevas referencias</t>
  </si>
  <si>
    <t>KPI 3 - Rotación de Stock (veces/mes)</t>
  </si>
  <si>
    <t>+1.8</t>
  </si>
  <si>
    <t>+40.0%</t>
  </si>
  <si>
    <t>Reducción drástica de caducidades y mermas gracias a Azure Vision</t>
  </si>
  <si>
    <t>Mermas mensuales medias (€)</t>
  </si>
  <si>
    <t>-30.3%</t>
  </si>
  <si>
    <t>Ahorro directo por mejor gestión de stock</t>
  </si>
  <si>
    <t>Margen Bruto medio (%)</t>
  </si>
  <si>
    <t>+4pp</t>
  </si>
  <si>
    <t>Mejora combinada de margen y reducción de pérdidas</t>
  </si>
  <si>
    <t xml:space="preserve">SECCIÓN 5: IMPACTO FINANCIERO ANUAL </t>
  </si>
  <si>
    <t>Concepto</t>
  </si>
  <si>
    <t>Actual (€/año)</t>
  </si>
  <si>
    <t>Proyectado (€/año)</t>
  </si>
  <si>
    <t>Diferencia (€/año)</t>
  </si>
  <si>
    <t>Ingresos Brutos Totales</t>
  </si>
  <si>
    <t>+6336</t>
  </si>
  <si>
    <t>Margen Bruto Total</t>
  </si>
  <si>
    <t>+3948</t>
  </si>
  <si>
    <t>Ahorro en Mermas</t>
  </si>
  <si>
    <t>-360 (ahorro)</t>
  </si>
  <si>
    <t>Beneficio Neto Estimado (margen - mermas)</t>
  </si>
  <si>
    <t>+4308</t>
  </si>
  <si>
    <t>SECCIÓN 6: FUENTES DE IMÁGENES PARA AZURE VISION</t>
  </si>
  <si>
    <t>A continuación se listan imágenes de lineales de supermercado de uso libre (Wikimedia Commons - CC BY-SA), descargables directamente:</t>
  </si>
  <si>
    <t>Nº</t>
  </si>
  <si>
    <t>URL de Descarga Directa</t>
  </si>
  <si>
    <t>Licencia</t>
  </si>
  <si>
    <t>Resolución</t>
  </si>
  <si>
    <t>Categoría para Azure Vision</t>
  </si>
  <si>
    <t>Productos variados en estantería (frente)</t>
  </si>
  <si>
    <t>https://upload.wikimedia.org/wikipedia/commons/thumb/3/3a/Faced_products_on_a_supermarket_shelf.JPG/1280px-Faced_products_on_a_supermarket_shelf.JPG</t>
  </si>
  <si>
    <t>CC BY-SA 3.0</t>
  </si>
  <si>
    <t>1280×960 px</t>
  </si>
  <si>
    <t>Reconocimiento general de productos</t>
  </si>
  <si>
    <t>Pasillo supermercado Eroski (España)</t>
  </si>
  <si>
    <t>https://upload.wikimedia.org/wikipedia/commons/thumb/8/88/Arrasate-Eroski-hypermarket-4624.jpg/1280px-Arrasate-Eroski-hypermarket-4624.jpg</t>
  </si>
  <si>
    <t>CC BY-SA</t>
  </si>
  <si>
    <t>Detección de lineales y organización</t>
  </si>
  <si>
    <t>Pasillo bebidas / snacks supermercado Coop (Noruega)</t>
  </si>
  <si>
    <t>https://upload.wikimedia.org/wikipedia/commons/thumb/5/5a/Extra_%28Coop_supermarket%29_Bergen_Storsenter_Norway_2017-11-16_snacks_aisle.jpg/1280px-Extra_%28Coop_supermarket%29_Bergen_Storsenter_Norway_2017-11-16_snacks_aisle.jpg</t>
  </si>
  <si>
    <t>CC BY-SA 4.0</t>
  </si>
  <si>
    <t>Snacks y bebidas</t>
  </si>
  <si>
    <t>Frutas y verduras frescas - Spar (Noruega)</t>
  </si>
  <si>
    <t>https://upload.wikimedia.org/wikipedia/commons/thumb/d/d0/Fruits_and_vegetables_displayed_for_sale_in_Spar_Supermarket_in_Tj%C3%B8me%2C_Norway._2018-12-16_A.jpg/1280px-Fruits_and_vegetables_displayed_for_sale_in_Spar_Supermarket_in_Tj%C3%B8me%2C_Norway._2018-12-16_A.jpg</t>
  </si>
  <si>
    <t>Frutas y verduras - categoría fresco</t>
  </si>
  <si>
    <t>Pasillo de pasta seca - supermercado Italia</t>
  </si>
  <si>
    <t>https://upload.wikimedia.org/wikipedia/commons/thumb/1/15/Rayon_p%C3%A2tes_s%C3%A8ches_d%27un_supermarch%C3%A9_%C3%A0_Rome%2C_en_Italie.png/1280px-Rayon_p%C3%A2tes_s%C3%A8ches_d%27un_supermarch%C3%A9_%C3%A0_Rome%2C_en_Italie.png</t>
  </si>
  <si>
    <t>Pastas y secos - alta rotación</t>
  </si>
  <si>
    <t>Interior completo supermercado Publix (EE.UU.)</t>
  </si>
  <si>
    <t>https://upload.wikimedia.org/wikipedia/commons/thumb/2/2a/Inside_of_a_Publix_store_in_MetroWest%2C_Orlando%2C_Florida.jpg/1280px-Inside_of_a_Publix_store_in_MetroWest%2C_Orlando%2C_Florida.jpg</t>
  </si>
  <si>
    <t>1280×853 px</t>
  </si>
  <si>
    <t>Vista general / layout</t>
  </si>
  <si>
    <t>Pasillo de bebidas (Smith's Food)</t>
  </si>
  <si>
    <t>https://upload.wikimedia.org/wikipedia/commons/thumb/6/62/Drinks_aisle_of_Smith%27s_Food_and_Drug_in_Gillette%2C_Wyoming.jpg/1280px-Drinks_aisle_of_Smith%27s_Food_and_Drug_in_Gillette%2C_Wyoming.jpg</t>
  </si>
  <si>
    <t>Bebidas y refrescos</t>
  </si>
  <si>
    <t>Sección congelados Publix</t>
  </si>
  <si>
    <t>https://upload.wikimedia.org/wikipedia/commons/thumb/a/ae/Frozen_foods_aisle_at_Publix_Super_Market_at_The_Paramount_on_Lake_Eola%2C_Orlando%2C_Florida.jpg/1280px-Frozen_foods_aisle_at_Publix_Super_Market_at_The_Paramount_on_Lake_Eola%2C_Orlando%2C_Florida.jpg</t>
  </si>
  <si>
    <t>Congelados</t>
  </si>
  <si>
    <r>
      <rPr>
        <color rgb="FF1155CC"/>
        <u/>
      </rPr>
      <t>Grocery Shelves Dataset</t>
    </r>
  </si>
  <si>
    <t>Fuente de todas las imágenes: Wikimedia Commons (commons.wikimedia.org) — licencia CC BY-SA, uso libre con atribución</t>
  </si>
  <si>
    <t>Para descarga directa: clic en cada URL o pegar en navegador. Compatible con Azure Computer Vision API (JPEG/PNG).</t>
  </si>
  <si>
    <t xml:space="preserve"> NOTAS METODOLÓGICAS</t>
  </si>
  <si>
    <t>• Ingresos base: entre 20.000€ y 30.000€/mes → media representativa de 24,636€/mes (ajustada por estacionalidad)</t>
  </si>
  <si>
    <t>• Margen bruto actual 40%: estándar para supermercado de barrio en España (fuente: ANGED / Distribución Actualidad 2024)</t>
  </si>
  <si>
    <t>• Mejora de margen a 44%: resultado combinado de reducción de mermas + mejor surtido detectado por Azure Vision</t>
  </si>
  <si>
    <t>• Rotación de stock: pasa de 4,5 a 6,3 veces/mes — Azure Vision permite detectar huecos y baja rotación en tiempo real</t>
  </si>
  <si>
    <t>• KPI Ticket Medio: mejora por mejor disposición (planograma) y adición de nuevas referencias de alto margen</t>
  </si>
  <si>
    <t>• Proyección conservadora: se asume implementación progresiva (meses 1-3 = transición, meses 4-12 = plena operación)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</si>
</sst>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d.m"/>
  </numFmts>
  <fonts count="10">
    <font>
      <sz val="10.0"/>
      <color rgb="FF000000"/>
      <name val="Arial"/>
      <scheme val="minor"/>
    </font>
    <font>
      <sz val="20.0"/>
      <color rgb="FF0000FF"/>
      <name val="Arial"/>
      <scheme val="minor"/>
    </font>
    <font>
      <sz val="11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</font>
    <font>
      <b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1" fillId="0" fontId="5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0" fillId="0" fontId="4" numFmtId="0" xfId="0" applyAlignment="1" applyFont="1">
      <alignment readingOrder="0" shrinkToFit="0" vertical="center" wrapText="0"/>
    </xf>
    <xf borderId="0" fillId="0" fontId="4" numFmtId="9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4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6" fillId="0" fontId="4" numFmtId="0" xfId="0" applyAlignment="1" applyBorder="1" applyFont="1">
      <alignment readingOrder="0"/>
    </xf>
    <xf borderId="7" fillId="0" fontId="4" numFmtId="0" xfId="0" applyAlignment="1" applyBorder="1" applyFont="1">
      <alignment readingOrder="0"/>
    </xf>
    <xf borderId="7" fillId="0" fontId="4" numFmtId="0" xfId="0" applyBorder="1" applyFont="1"/>
    <xf borderId="8" fillId="0" fontId="4" numFmtId="0" xfId="0" applyBorder="1" applyFont="1"/>
    <xf borderId="9" fillId="0" fontId="4" numFmtId="0" xfId="0" applyAlignment="1" applyBorder="1" applyFont="1">
      <alignment readingOrder="0"/>
    </xf>
    <xf borderId="2" fillId="0" fontId="4" numFmtId="1" xfId="0" applyAlignment="1" applyBorder="1" applyFont="1" applyNumberFormat="1">
      <alignment readingOrder="0"/>
    </xf>
    <xf borderId="2" fillId="0" fontId="4" numFmtId="0" xfId="0" applyAlignment="1" applyBorder="1" applyFont="1">
      <alignment readingOrder="0"/>
    </xf>
    <xf borderId="2" fillId="0" fontId="4" numFmtId="9" xfId="0" applyAlignment="1" applyBorder="1" applyFont="1" applyNumberFormat="1">
      <alignment readingOrder="0"/>
    </xf>
    <xf borderId="2" fillId="0" fontId="4" numFmtId="164" xfId="0" applyAlignment="1" applyBorder="1" applyFont="1" applyNumberFormat="1">
      <alignment readingOrder="0"/>
    </xf>
    <xf borderId="2" fillId="0" fontId="4" numFmtId="1" xfId="0" applyBorder="1" applyFont="1" applyNumberFormat="1"/>
    <xf borderId="3" fillId="0" fontId="4" numFmtId="1" xfId="0" applyBorder="1" applyFont="1" applyNumberFormat="1"/>
    <xf borderId="0" fillId="0" fontId="4" numFmtId="16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9" fillId="0" fontId="6" numFmtId="0" xfId="0" applyAlignment="1" applyBorder="1" applyFont="1">
      <alignment readingOrder="0"/>
    </xf>
    <xf borderId="2" fillId="0" fontId="6" numFmtId="0" xfId="0" applyBorder="1" applyFont="1"/>
    <xf borderId="10" fillId="0" fontId="4" numFmtId="0" xfId="0" applyAlignment="1" applyBorder="1" applyFont="1">
      <alignment readingOrder="0"/>
    </xf>
    <xf borderId="11" fillId="0" fontId="4" numFmtId="0" xfId="0" applyBorder="1" applyFont="1"/>
    <xf borderId="12" fillId="0" fontId="4" numFmtId="0" xfId="0" applyBorder="1" applyFont="1"/>
    <xf borderId="0" fillId="0" fontId="7" numFmtId="0" xfId="0" applyAlignment="1" applyFont="1">
      <alignment readingOrder="0"/>
    </xf>
    <xf borderId="13" fillId="0" fontId="4" numFmtId="0" xfId="0" applyAlignment="1" applyBorder="1" applyFont="1">
      <alignment readingOrder="0"/>
    </xf>
    <xf borderId="14" fillId="0" fontId="4" numFmtId="0" xfId="0" applyAlignment="1" applyBorder="1" applyFont="1">
      <alignment readingOrder="0"/>
    </xf>
    <xf borderId="7" fillId="0" fontId="8" numFmtId="0" xfId="0" applyAlignment="1" applyBorder="1" applyFont="1">
      <alignment readingOrder="0"/>
    </xf>
    <xf borderId="0" fillId="0" fontId="6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1" xfId="0" applyAlignment="1" applyFont="1" applyNumberFormat="1">
      <alignment shrinkToFit="0" vertical="center" wrapText="0"/>
    </xf>
    <xf borderId="0" fillId="0" fontId="4" numFmtId="9" xfId="0" applyAlignment="1" applyFont="1" applyNumberFormat="1">
      <alignment readingOrder="0"/>
    </xf>
    <xf borderId="0" fillId="0" fontId="4" numFmtId="0" xfId="0" applyFont="1"/>
    <xf borderId="1" fillId="0" fontId="4" numFmtId="0" xfId="0" applyAlignment="1" applyBorder="1" applyFont="1">
      <alignment readingOrder="0"/>
    </xf>
    <xf borderId="4" fillId="0" fontId="4" numFmtId="0" xfId="0" applyAlignment="1" applyBorder="1" applyFont="1">
      <alignment horizontal="right" readingOrder="0"/>
    </xf>
    <xf borderId="4" fillId="0" fontId="4" numFmtId="165" xfId="0" applyAlignment="1" applyBorder="1" applyFont="1" applyNumberFormat="1">
      <alignment readingOrder="0"/>
    </xf>
    <xf borderId="4" fillId="0" fontId="4" numFmtId="0" xfId="0" applyBorder="1" applyFont="1"/>
    <xf borderId="4" fillId="0" fontId="4" numFmtId="0" xfId="0" applyAlignment="1" applyBorder="1" applyFont="1">
      <alignment horizontal="right"/>
    </xf>
    <xf borderId="6" fillId="0" fontId="4" numFmtId="9" xfId="0" applyAlignment="1" applyBorder="1" applyFont="1" applyNumberFormat="1">
      <alignment readingOrder="0"/>
    </xf>
    <xf borderId="6" fillId="0" fontId="4" numFmtId="0" xfId="0" applyAlignment="1" applyBorder="1" applyFont="1">
      <alignment horizontal="right"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upermercado_expansion_madri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permercado_expansion_madrid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rgbClr val="000000"/>
                </a:solidFill>
                <a:latin typeface="+mn-lt"/>
              </a:defRPr>
            </a:pPr>
            <a:r>
              <a:rPr b="0" sz="2400">
                <a:solidFill>
                  <a:srgbClr val="000000"/>
                </a:solidFill>
                <a:latin typeface="+mn-lt"/>
              </a:rPr>
              <a:t>Ingresos Brutos (€) y Ganancia neta (€)</a:t>
            </a:r>
          </a:p>
        </c:rich>
      </c:tx>
      <c:layout>
        <c:manualLayout>
          <c:xMode val="edge"/>
          <c:yMode val="edge"/>
          <c:x val="0.02903225806451613"/>
          <c:y val="0.04846625766871166"/>
        </c:manualLayout>
      </c:layout>
      <c:overlay val="0"/>
    </c:title>
    <c:plotArea>
      <c:layout/>
      <c:areaChart>
        <c:grouping val="stacked"/>
        <c:ser>
          <c:idx val="1"/>
          <c:order val="1"/>
          <c:tx>
            <c:strRef>
              <c:f>supermercado_expansion_madrid!$K$7</c:f>
            </c:strRef>
          </c:tx>
          <c:spPr>
            <a:solidFill>
              <a:srgbClr val="6AA84F">
                <a:alpha val="50000"/>
              </a:srgbClr>
            </a:solidFill>
            <a:ln cmpd="sng" w="38100">
              <a:solidFill>
                <a:srgbClr val="6AA84F">
                  <a:alpha val="100000"/>
                </a:srgbClr>
              </a:solidFill>
              <a:prstDash val="lgDash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8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supermercado_expansion_madrid!$A$8:$A$19</c:f>
            </c:strRef>
          </c:cat>
          <c:val>
            <c:numRef>
              <c:f>supermercado_expansion_madrid!$K$8:$K$19</c:f>
              <c:numCache/>
            </c:numRef>
          </c:val>
        </c:ser>
        <c:axId val="1240011975"/>
        <c:axId val="504474574"/>
      </c:areaChart>
      <c:barChart>
        <c:barDir val="col"/>
        <c:grouping val="stacked"/>
        <c:ser>
          <c:idx val="0"/>
          <c:order val="0"/>
          <c:tx>
            <c:strRef>
              <c:f>supermercado_expansion_madrid!$B$7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60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supermercado_expansion_madrid!$A$8:$A$19</c:f>
            </c:strRef>
          </c:cat>
          <c:val>
            <c:numRef>
              <c:f>supermercado_expansion_madrid!$B$8:$B$19</c:f>
              <c:numCache/>
            </c:numRef>
          </c:val>
        </c:ser>
        <c:overlap val="100"/>
        <c:axId val="1240011975"/>
        <c:axId val="504474574"/>
      </c:barChart>
      <c:catAx>
        <c:axId val="1240011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Arial"/>
              </a:defRPr>
            </a:pPr>
          </a:p>
        </c:txPr>
        <c:crossAx val="504474574"/>
      </c:catAx>
      <c:valAx>
        <c:axId val="5044745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0011975"/>
      </c:valAx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24</xdr:row>
      <xdr:rowOff>66675</xdr:rowOff>
    </xdr:from>
    <xdr:ext cx="13192125" cy="81534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K19" displayName="Baseline" name="Baseline" id="1">
  <tableColumns count="11">
    <tableColumn name="Mes" id="1"/>
    <tableColumn name="Ingresos Brutos (€)" id="2"/>
    <tableColumn name="Coste Mercancía (€)" id="3"/>
    <tableColumn name="Margen Bruto (€)" id="4"/>
    <tableColumn name="Margen Bruto (%)" id="5"/>
    <tableColumn name="Ticket Medio (€)" id="6"/>
    <tableColumn name="Nº Tickets/Mes" id="7"/>
    <tableColumn name="Rotación de Stock (veces/mes)" id="8"/>
    <tableColumn name="Mermas y Caducidades (€)" id="9"/>
    <tableColumn name="Gastos operativos (€)" id="10"/>
    <tableColumn name="Ganancia neta (€)" id="11"/>
  </tableColumns>
  <tableStyleInfo name="supermercado_expansion_madrid-style" showColumnStripes="0" showFirstColumn="1" showLastColumn="1" showRowStripes="1"/>
</table>
</file>

<file path=xl/tables/table2.xml><?xml version="1.0" encoding="utf-8"?>
<table xmlns="http://schemas.openxmlformats.org/spreadsheetml/2006/main" ref="A82:M94" displayName="Proyección_aplicando_IA_" name="Proyección_aplicando_IA_" id="2">
  <tableColumns count="13">
    <tableColumn name="Mes" id="1"/>
    <tableColumn name="Ingresos actuales" id="2"/>
    <tableColumn name="Ticket actual" id="3"/>
    <tableColumn name="Mermas actuales" id="4"/>
    <tableColumn name="Gastos operativos" id="5"/>
    <tableColumn name="Nuevo Ticket" id="6"/>
    <tableColumn name="Nuevas Mermas" id="7"/>
    <tableColumn name="Ingresos +8%" id="8"/>
    <tableColumn name="Ingresos +7%" id="9"/>
    <tableColumn name="Ingresos Totales Nuevos" id="10"/>
    <tableColumn name="Nuevo Coste (€)" id="11"/>
    <tableColumn name="Ganancia Neta Nueva (€)" id="12"/>
    <tableColumn name="Margen Neto (%)" id="13"/>
  </tableColumns>
  <tableStyleInfo name="supermercado_expansion_madrid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upload.wikimedia.org/wikipedia/commons/thumb/6/62/Drinks_aisle_of_Smith%27s_Food_and_Drug_in_Gillette%2C_Wyoming.jpg/1280px-Drinks_aisle_of_Smith%27s_Food_and_Drug_in_Gillette%2C_Wyoming.jpg" TargetMode="External"/><Relationship Id="rId10" Type="http://schemas.openxmlformats.org/officeDocument/2006/relationships/hyperlink" Target="https://upload.wikimedia.org/wikipedia/commons/thumb/2/2a/Inside_of_a_Publix_store_in_MetroWest%2C_Orlando%2C_Florida.jpg/1280px-Inside_of_a_Publix_store_in_MetroWest%2C_Orlando%2C_Florida.jpg" TargetMode="External"/><Relationship Id="rId13" Type="http://schemas.openxmlformats.org/officeDocument/2006/relationships/hyperlink" Target="https://www.kaggle.com/datasets/unidpro/grocery-shelves?select=img" TargetMode="External"/><Relationship Id="rId12" Type="http://schemas.openxmlformats.org/officeDocument/2006/relationships/hyperlink" Target="https://upload.wikimedia.org/wikipedia/commons/thumb/a/ae/Frozen_foods_aisle_at_Publix_Super_Market_at_The_Paramount_on_Lake_Eola%2C_Orlando%2C_Florida.jpg/1280px-Frozen_foods_aisle_at_Publix_Super_Market_at_The_Paramount_on_Lake_Eola%2C_Orlando%2C_Florida.jpg" TargetMode="External"/><Relationship Id="rId1" Type="http://schemas.openxmlformats.org/officeDocument/2006/relationships/hyperlink" Target="https://www.mckinsey.com/capabilities/operations/our-insights/reducing-shrink-with-computer-vision-and-advanced-analytics" TargetMode="External"/><Relationship Id="rId2" Type="http://schemas.openxmlformats.org/officeDocument/2006/relationships/hyperlink" Target="https://nielseniq.com/global/en/insights/report/2023/https-nielseniq-com-global-en-insights-report-2022-shopper-trends-2023/" TargetMode="External"/><Relationship Id="rId3" Type="http://schemas.openxmlformats.org/officeDocument/2006/relationships/hyperlink" Target="https://www.circana.com/solutions/on-shelf-availability" TargetMode="External"/><Relationship Id="rId4" Type="http://schemas.openxmlformats.org/officeDocument/2006/relationships/hyperlink" Target="https://www.kantar.com/es/inspiracion/gran-consumo/regionales-y-surtido-corto-lideran-el-crecimiento" TargetMode="External"/><Relationship Id="rId9" Type="http://schemas.openxmlformats.org/officeDocument/2006/relationships/hyperlink" Target="https://upload.wikimedia.org/wikipedia/commons/thumb/1/15/Rayon_p%C3%A2tes_s%C3%A8ches_d%27un_supermarch%C3%A9_%C3%A0_Rome%2C_en_Italie.png/1280px-Rayon_p%C3%A2tes_s%C3%A8ches_d%27un_supermarch%C3%A9_%C3%A0_Rome%2C_en_Italie.png" TargetMode="External"/><Relationship Id="rId14" Type="http://schemas.openxmlformats.org/officeDocument/2006/relationships/drawing" Target="../drawings/drawing1.xml"/><Relationship Id="rId17" Type="http://schemas.openxmlformats.org/officeDocument/2006/relationships/table" Target="../tables/table1.xml"/><Relationship Id="rId5" Type="http://schemas.openxmlformats.org/officeDocument/2006/relationships/hyperlink" Target="https://upload.wikimedia.org/wikipedia/commons/thumb/3/3a/Faced_products_on_a_supermarket_shelf.JPG/1280px-Faced_products_on_a_supermarket_shelf.JPG" TargetMode="External"/><Relationship Id="rId6" Type="http://schemas.openxmlformats.org/officeDocument/2006/relationships/hyperlink" Target="https://upload.wikimedia.org/wikipedia/commons/thumb/8/88/Arrasate-Eroski-hypermarket-4624.jpg/1280px-Arrasate-Eroski-hypermarket-4624.jpg" TargetMode="External"/><Relationship Id="rId18" Type="http://schemas.openxmlformats.org/officeDocument/2006/relationships/table" Target="../tables/table2.xml"/><Relationship Id="rId7" Type="http://schemas.openxmlformats.org/officeDocument/2006/relationships/hyperlink" Target="https://upload.wikimedia.org/wikipedia/commons/thumb/5/5a/Extra_%28Coop_supermarket%29_Bergen_Storsenter_Norway_2017-11-16_snacks_aisle.jpg/1280px-Extra_%28Coop_supermarket%29_Bergen_Storsenter_Norway_2017-11-16_snacks_aisle.jpg" TargetMode="External"/><Relationship Id="rId8" Type="http://schemas.openxmlformats.org/officeDocument/2006/relationships/hyperlink" Target="https://upload.wikimedia.org/wikipedia/commons/thumb/d/d0/Fruits_and_vegetables_displayed_for_sale_in_Spar_Supermarket_in_Tj%C3%B8me%2C_Norway._2018-12-16_A.jpg/1280px-Fruits_and_vegetables_displayed_for_sale_in_Spar_Supermarket_in_Tj%C3%B8me%2C_Norway._2018-12-16_A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1.88"/>
    <col customWidth="1" min="2" max="2" width="19.75"/>
    <col customWidth="1" min="3" max="3" width="20.5"/>
    <col customWidth="1" min="4" max="4" width="18.13"/>
    <col customWidth="1" min="5" max="5" width="21.63"/>
    <col customWidth="1" min="6" max="6" width="17.63"/>
    <col customWidth="1" min="7" max="7" width="17.13"/>
    <col customWidth="1" min="8" max="8" width="27.75"/>
    <col customWidth="1" min="9" max="9" width="25.38"/>
    <col customWidth="1" min="10" max="10" width="25.88"/>
    <col customWidth="1" min="11" max="11" width="19.25"/>
    <col customWidth="1" min="12" max="12" width="21.88"/>
    <col customWidth="1" min="13" max="13" width="18.0"/>
    <col customWidth="1" min="14" max="14" width="18.38"/>
    <col customWidth="1" min="15" max="15" width="14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5">
      <c r="A5" s="3" t="s">
        <v>3</v>
      </c>
    </row>
    <row r="7" ht="22.5" customHeight="1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5" t="s">
        <v>13</v>
      </c>
      <c r="K7" s="5" t="s">
        <v>14</v>
      </c>
      <c r="M7" s="6" t="s">
        <v>4</v>
      </c>
      <c r="N7" s="6" t="s">
        <v>15</v>
      </c>
      <c r="O7" s="7" t="s">
        <v>16</v>
      </c>
      <c r="P7" s="8"/>
      <c r="Q7" s="9"/>
    </row>
    <row r="8" ht="22.5" customHeight="1">
      <c r="A8" s="4" t="s">
        <v>17</v>
      </c>
      <c r="B8" s="10">
        <f t="shared" ref="B8:B19" si="1">F8*G8</f>
        <v>22015</v>
      </c>
      <c r="C8" s="10">
        <v>13200.0</v>
      </c>
      <c r="D8" s="10">
        <v>8800.0</v>
      </c>
      <c r="E8" s="11">
        <v>0.4</v>
      </c>
      <c r="F8" s="10">
        <v>18.5</v>
      </c>
      <c r="G8" s="10">
        <v>1190.0</v>
      </c>
      <c r="H8" s="12">
        <v>4.2</v>
      </c>
      <c r="I8" s="10">
        <v>88.0</v>
      </c>
      <c r="J8" s="13">
        <f t="shared" ref="J8:J19" si="2">N8</f>
        <v>4150</v>
      </c>
      <c r="K8" s="13">
        <f t="shared" ref="K8:K19" si="3">B8-C8-I8-J8</f>
        <v>4577</v>
      </c>
      <c r="M8" s="14" t="s">
        <v>17</v>
      </c>
      <c r="N8" s="14">
        <v>4150.0</v>
      </c>
      <c r="O8" s="15" t="s">
        <v>18</v>
      </c>
      <c r="Q8" s="16"/>
    </row>
    <row r="9" ht="22.5" customHeight="1">
      <c r="A9" s="4" t="s">
        <v>19</v>
      </c>
      <c r="B9" s="10">
        <f t="shared" si="1"/>
        <v>20930</v>
      </c>
      <c r="C9" s="10">
        <v>12600.0</v>
      </c>
      <c r="D9" s="10">
        <v>8400.0</v>
      </c>
      <c r="E9" s="11">
        <v>0.4</v>
      </c>
      <c r="F9" s="10">
        <v>18.2</v>
      </c>
      <c r="G9" s="10">
        <v>1150.0</v>
      </c>
      <c r="H9" s="12">
        <v>4.0</v>
      </c>
      <c r="I9" s="10">
        <v>84.0</v>
      </c>
      <c r="J9" s="13">
        <f t="shared" si="2"/>
        <v>4100</v>
      </c>
      <c r="K9" s="13">
        <f t="shared" si="3"/>
        <v>4146</v>
      </c>
      <c r="M9" s="14" t="s">
        <v>19</v>
      </c>
      <c r="N9" s="14">
        <v>4100.0</v>
      </c>
      <c r="O9" s="15" t="s">
        <v>20</v>
      </c>
      <c r="Q9" s="16"/>
    </row>
    <row r="10" ht="22.5" customHeight="1">
      <c r="A10" s="4" t="s">
        <v>21</v>
      </c>
      <c r="B10" s="10">
        <f t="shared" si="1"/>
        <v>23940</v>
      </c>
      <c r="C10" s="10">
        <v>14400.0</v>
      </c>
      <c r="D10" s="10">
        <v>9600.0</v>
      </c>
      <c r="E10" s="11">
        <v>0.4</v>
      </c>
      <c r="F10" s="10">
        <v>19.0</v>
      </c>
      <c r="G10" s="10">
        <v>1260.0</v>
      </c>
      <c r="H10" s="12">
        <v>4.5</v>
      </c>
      <c r="I10" s="10">
        <v>96.0</v>
      </c>
      <c r="J10" s="13">
        <f t="shared" si="2"/>
        <v>4150</v>
      </c>
      <c r="K10" s="13">
        <f t="shared" si="3"/>
        <v>5294</v>
      </c>
      <c r="M10" s="14" t="s">
        <v>21</v>
      </c>
      <c r="N10" s="14">
        <v>4150.0</v>
      </c>
      <c r="O10" s="15" t="s">
        <v>22</v>
      </c>
      <c r="Q10" s="16"/>
    </row>
    <row r="11" ht="22.5" customHeight="1">
      <c r="A11" s="4" t="s">
        <v>23</v>
      </c>
      <c r="B11" s="10">
        <f t="shared" si="1"/>
        <v>22936</v>
      </c>
      <c r="C11" s="10">
        <v>13800.0</v>
      </c>
      <c r="D11" s="10">
        <v>9200.0</v>
      </c>
      <c r="E11" s="11">
        <v>0.4</v>
      </c>
      <c r="F11" s="10">
        <v>18.8</v>
      </c>
      <c r="G11" s="10">
        <v>1220.0</v>
      </c>
      <c r="H11" s="12">
        <v>4.3</v>
      </c>
      <c r="I11" s="10">
        <v>92.0</v>
      </c>
      <c r="J11" s="13">
        <f t="shared" si="2"/>
        <v>4200</v>
      </c>
      <c r="K11" s="13">
        <f t="shared" si="3"/>
        <v>4844</v>
      </c>
      <c r="M11" s="14" t="s">
        <v>23</v>
      </c>
      <c r="N11" s="14">
        <v>4200.0</v>
      </c>
      <c r="O11" s="15" t="s">
        <v>24</v>
      </c>
      <c r="Q11" s="16"/>
    </row>
    <row r="12" ht="22.5" customHeight="1">
      <c r="A12" s="4" t="s">
        <v>25</v>
      </c>
      <c r="B12" s="10">
        <f t="shared" si="1"/>
        <v>24960</v>
      </c>
      <c r="C12" s="10">
        <v>15000.0</v>
      </c>
      <c r="D12" s="10">
        <v>10000.0</v>
      </c>
      <c r="E12" s="11">
        <v>0.4</v>
      </c>
      <c r="F12" s="10">
        <v>19.5</v>
      </c>
      <c r="G12" s="10">
        <v>1280.0</v>
      </c>
      <c r="H12" s="12">
        <v>4.6</v>
      </c>
      <c r="I12" s="10">
        <v>100.0</v>
      </c>
      <c r="J12" s="13">
        <f t="shared" si="2"/>
        <v>4250</v>
      </c>
      <c r="K12" s="13">
        <f t="shared" si="3"/>
        <v>5610</v>
      </c>
      <c r="M12" s="14" t="s">
        <v>25</v>
      </c>
      <c r="N12" s="14">
        <v>4250.0</v>
      </c>
      <c r="O12" s="15" t="s">
        <v>26</v>
      </c>
      <c r="Q12" s="16"/>
    </row>
    <row r="13" ht="22.5" customHeight="1">
      <c r="A13" s="4" t="s">
        <v>27</v>
      </c>
      <c r="B13" s="10">
        <f t="shared" si="1"/>
        <v>26000</v>
      </c>
      <c r="C13" s="10">
        <v>15600.0</v>
      </c>
      <c r="D13" s="10">
        <v>10400.0</v>
      </c>
      <c r="E13" s="11">
        <v>0.4</v>
      </c>
      <c r="F13" s="10">
        <v>20.0</v>
      </c>
      <c r="G13" s="10">
        <v>1300.0</v>
      </c>
      <c r="H13" s="12">
        <v>4.8</v>
      </c>
      <c r="I13" s="10">
        <v>104.0</v>
      </c>
      <c r="J13" s="13">
        <f t="shared" si="2"/>
        <v>4350</v>
      </c>
      <c r="K13" s="13">
        <f t="shared" si="3"/>
        <v>5946</v>
      </c>
      <c r="M13" s="14" t="s">
        <v>27</v>
      </c>
      <c r="N13" s="14">
        <v>4350.0</v>
      </c>
      <c r="O13" s="15" t="s">
        <v>28</v>
      </c>
      <c r="Q13" s="16"/>
    </row>
    <row r="14" ht="22.5" customHeight="1">
      <c r="A14" s="4" t="s">
        <v>29</v>
      </c>
      <c r="B14" s="10">
        <f t="shared" si="1"/>
        <v>28085</v>
      </c>
      <c r="C14" s="10">
        <v>16800.0</v>
      </c>
      <c r="D14" s="10">
        <v>11200.0</v>
      </c>
      <c r="E14" s="11">
        <v>0.4</v>
      </c>
      <c r="F14" s="10">
        <v>20.5</v>
      </c>
      <c r="G14" s="10">
        <v>1370.0</v>
      </c>
      <c r="H14" s="12">
        <v>5.0</v>
      </c>
      <c r="I14" s="10">
        <v>112.0</v>
      </c>
      <c r="J14" s="13">
        <f t="shared" si="2"/>
        <v>4550</v>
      </c>
      <c r="K14" s="13">
        <f t="shared" si="3"/>
        <v>6623</v>
      </c>
      <c r="M14" s="14" t="s">
        <v>29</v>
      </c>
      <c r="N14" s="14">
        <v>4550.0</v>
      </c>
      <c r="O14" s="15" t="s">
        <v>30</v>
      </c>
      <c r="Q14" s="16"/>
    </row>
    <row r="15" ht="22.5" customHeight="1">
      <c r="A15" s="4" t="s">
        <v>31</v>
      </c>
      <c r="B15" s="10">
        <f t="shared" si="1"/>
        <v>27000</v>
      </c>
      <c r="C15" s="10">
        <v>16200.0</v>
      </c>
      <c r="D15" s="10">
        <v>10800.0</v>
      </c>
      <c r="E15" s="11">
        <v>0.4</v>
      </c>
      <c r="F15" s="10">
        <v>20.0</v>
      </c>
      <c r="G15" s="10">
        <v>1350.0</v>
      </c>
      <c r="H15" s="12">
        <v>4.9</v>
      </c>
      <c r="I15" s="10">
        <v>108.0</v>
      </c>
      <c r="J15" s="13">
        <f t="shared" si="2"/>
        <v>4500</v>
      </c>
      <c r="K15" s="13">
        <f t="shared" si="3"/>
        <v>6192</v>
      </c>
      <c r="M15" s="14" t="s">
        <v>31</v>
      </c>
      <c r="N15" s="14">
        <v>4500.0</v>
      </c>
      <c r="O15" s="15" t="s">
        <v>32</v>
      </c>
      <c r="Q15" s="16"/>
    </row>
    <row r="16" ht="22.5" customHeight="1">
      <c r="A16" s="4" t="s">
        <v>33</v>
      </c>
      <c r="B16" s="10">
        <f t="shared" si="1"/>
        <v>23940</v>
      </c>
      <c r="C16" s="10">
        <v>14400.0</v>
      </c>
      <c r="D16" s="10">
        <v>9600.0</v>
      </c>
      <c r="E16" s="11">
        <v>0.4</v>
      </c>
      <c r="F16" s="10">
        <v>19.0</v>
      </c>
      <c r="G16" s="10">
        <v>1260.0</v>
      </c>
      <c r="H16" s="12">
        <v>4.4</v>
      </c>
      <c r="I16" s="10">
        <v>96.0</v>
      </c>
      <c r="J16" s="13">
        <f t="shared" si="2"/>
        <v>4250</v>
      </c>
      <c r="K16" s="13">
        <f t="shared" si="3"/>
        <v>5194</v>
      </c>
      <c r="M16" s="14" t="s">
        <v>33</v>
      </c>
      <c r="N16" s="14">
        <v>4250.0</v>
      </c>
      <c r="O16" s="15" t="s">
        <v>34</v>
      </c>
      <c r="Q16" s="16"/>
    </row>
    <row r="17" ht="22.5" customHeight="1">
      <c r="A17" s="4" t="s">
        <v>35</v>
      </c>
      <c r="B17" s="10">
        <f t="shared" si="1"/>
        <v>22936</v>
      </c>
      <c r="C17" s="10">
        <v>13800.0</v>
      </c>
      <c r="D17" s="10">
        <v>9200.0</v>
      </c>
      <c r="E17" s="11">
        <v>0.4</v>
      </c>
      <c r="F17" s="10">
        <v>18.8</v>
      </c>
      <c r="G17" s="10">
        <v>1220.0</v>
      </c>
      <c r="H17" s="12">
        <v>4.3</v>
      </c>
      <c r="I17" s="10">
        <v>92.0</v>
      </c>
      <c r="J17" s="13">
        <f t="shared" si="2"/>
        <v>4200</v>
      </c>
      <c r="K17" s="13">
        <f t="shared" si="3"/>
        <v>4844</v>
      </c>
      <c r="M17" s="14" t="s">
        <v>35</v>
      </c>
      <c r="N17" s="14">
        <v>4200.0</v>
      </c>
      <c r="O17" s="15" t="s">
        <v>36</v>
      </c>
      <c r="Q17" s="16"/>
    </row>
    <row r="18" ht="22.5" customHeight="1">
      <c r="A18" s="4" t="s">
        <v>37</v>
      </c>
      <c r="B18" s="10">
        <f t="shared" si="1"/>
        <v>24960</v>
      </c>
      <c r="C18" s="10">
        <v>15000.0</v>
      </c>
      <c r="D18" s="10">
        <v>10000.0</v>
      </c>
      <c r="E18" s="11">
        <v>0.4</v>
      </c>
      <c r="F18" s="10">
        <v>19.2</v>
      </c>
      <c r="G18" s="10">
        <v>1300.0</v>
      </c>
      <c r="H18" s="12">
        <v>4.5</v>
      </c>
      <c r="I18" s="10">
        <v>100.0</v>
      </c>
      <c r="J18" s="13">
        <f t="shared" si="2"/>
        <v>4300</v>
      </c>
      <c r="K18" s="13">
        <f t="shared" si="3"/>
        <v>5560</v>
      </c>
      <c r="M18" s="14" t="s">
        <v>37</v>
      </c>
      <c r="N18" s="14">
        <v>4300.0</v>
      </c>
      <c r="O18" s="15" t="s">
        <v>38</v>
      </c>
      <c r="Q18" s="16"/>
    </row>
    <row r="19" ht="22.5" customHeight="1">
      <c r="A19" s="4" t="s">
        <v>39</v>
      </c>
      <c r="B19" s="10">
        <f t="shared" si="1"/>
        <v>27930</v>
      </c>
      <c r="C19" s="10">
        <v>16800.0</v>
      </c>
      <c r="D19" s="10">
        <v>11200.0</v>
      </c>
      <c r="E19" s="11">
        <v>0.4</v>
      </c>
      <c r="F19" s="10">
        <v>21.0</v>
      </c>
      <c r="G19" s="10">
        <v>1330.0</v>
      </c>
      <c r="H19" s="12">
        <v>5.2</v>
      </c>
      <c r="I19" s="10">
        <v>112.0</v>
      </c>
      <c r="J19" s="13">
        <f t="shared" si="2"/>
        <v>6240</v>
      </c>
      <c r="K19" s="13">
        <f t="shared" si="3"/>
        <v>4778</v>
      </c>
      <c r="M19" s="17" t="s">
        <v>39</v>
      </c>
      <c r="N19" s="17">
        <v>6240.0</v>
      </c>
      <c r="O19" s="18" t="s">
        <v>40</v>
      </c>
      <c r="P19" s="19"/>
      <c r="Q19" s="20"/>
    </row>
    <row r="21">
      <c r="A21" s="21" t="s">
        <v>41</v>
      </c>
      <c r="B21" s="22">
        <f>AVERAGE(Baseline[Ingresos Brutos (€)])</f>
        <v>24636</v>
      </c>
      <c r="C21" s="23">
        <f>AVERAGE(Baseline[Coste Mercancía (€)])</f>
        <v>14800</v>
      </c>
      <c r="D21" s="22">
        <f>AVERAGE(Baseline[Margen Bruto (€)])</f>
        <v>9866.666667</v>
      </c>
      <c r="E21" s="24">
        <f>AVERAGE(Baseline[Margen Bruto (%)])</f>
        <v>0.4</v>
      </c>
      <c r="F21" s="22">
        <f>AVERAGE(Baseline[Ticket Medio (€)])</f>
        <v>19.375</v>
      </c>
      <c r="G21" s="22">
        <f>AVERAGE(Baseline[Nº Tickets/Mes])</f>
        <v>1269.166667</v>
      </c>
      <c r="H21" s="25">
        <f>AVERAGE(Baseline[Rotación de Stock (veces/mes)])</f>
        <v>4.558333333</v>
      </c>
      <c r="I21" s="22">
        <f>AVERAGE(Baseline[Mermas y Caducidades (€)])</f>
        <v>98.66666667</v>
      </c>
      <c r="J21" s="26">
        <f>AVERAGE(Baseline[Gastos operativos (€)])</f>
        <v>4436.666667</v>
      </c>
      <c r="K21" s="27">
        <f>AVERAGE(Baseline[Ganancia neta (€)])</f>
        <v>5300.666667</v>
      </c>
    </row>
    <row r="22">
      <c r="A22" s="15"/>
      <c r="B22" s="28"/>
      <c r="C22" s="15"/>
      <c r="D22" s="28"/>
      <c r="E22" s="15"/>
      <c r="F22" s="28"/>
      <c r="G22" s="29"/>
      <c r="H22" s="28"/>
      <c r="I22" s="28"/>
    </row>
    <row r="23">
      <c r="A23" s="15" t="s">
        <v>42</v>
      </c>
    </row>
    <row r="38">
      <c r="M38" s="30"/>
      <c r="N38" s="30"/>
    </row>
    <row r="68">
      <c r="A68" s="3" t="s">
        <v>43</v>
      </c>
    </row>
    <row r="70">
      <c r="A70" s="31" t="s">
        <v>44</v>
      </c>
    </row>
    <row r="72">
      <c r="A72" s="32" t="s">
        <v>45</v>
      </c>
      <c r="B72" s="33"/>
      <c r="C72" s="32" t="s">
        <v>46</v>
      </c>
      <c r="D72" s="33"/>
      <c r="E72" s="33"/>
      <c r="F72" s="32" t="s">
        <v>47</v>
      </c>
      <c r="G72" s="33"/>
      <c r="H72" s="32" t="s">
        <v>48</v>
      </c>
      <c r="I72" s="9"/>
    </row>
    <row r="73">
      <c r="A73" s="34" t="s">
        <v>49</v>
      </c>
      <c r="B73" s="35"/>
      <c r="C73" s="34" t="s">
        <v>50</v>
      </c>
      <c r="D73" s="36"/>
      <c r="E73" s="35"/>
      <c r="F73" s="34" t="s">
        <v>51</v>
      </c>
      <c r="G73" s="35"/>
      <c r="H73" s="37" t="s">
        <v>52</v>
      </c>
      <c r="I73" s="16"/>
    </row>
    <row r="74">
      <c r="A74" s="38" t="s">
        <v>53</v>
      </c>
      <c r="B74" s="16"/>
      <c r="C74" s="38" t="s">
        <v>54</v>
      </c>
      <c r="E74" s="16"/>
      <c r="F74" s="38" t="s">
        <v>55</v>
      </c>
      <c r="G74" s="16"/>
      <c r="H74" s="37" t="s">
        <v>56</v>
      </c>
      <c r="I74" s="16"/>
    </row>
    <row r="75">
      <c r="A75" s="38" t="s">
        <v>57</v>
      </c>
      <c r="B75" s="16"/>
      <c r="C75" s="38" t="s">
        <v>58</v>
      </c>
      <c r="E75" s="16"/>
      <c r="F75" s="38" t="s">
        <v>59</v>
      </c>
      <c r="G75" s="16"/>
      <c r="H75" s="37" t="s">
        <v>60</v>
      </c>
      <c r="I75" s="16"/>
    </row>
    <row r="76">
      <c r="A76" s="39" t="s">
        <v>61</v>
      </c>
      <c r="B76" s="20"/>
      <c r="C76" s="39" t="s">
        <v>62</v>
      </c>
      <c r="D76" s="19"/>
      <c r="E76" s="20"/>
      <c r="F76" s="39" t="s">
        <v>63</v>
      </c>
      <c r="G76" s="20"/>
      <c r="H76" s="40" t="s">
        <v>64</v>
      </c>
      <c r="I76" s="20"/>
    </row>
    <row r="79">
      <c r="A79" s="3" t="s">
        <v>65</v>
      </c>
    </row>
    <row r="82" ht="22.5" customHeight="1">
      <c r="A82" s="41" t="s">
        <v>4</v>
      </c>
      <c r="B82" s="41" t="s">
        <v>66</v>
      </c>
      <c r="C82" s="41" t="s">
        <v>67</v>
      </c>
      <c r="D82" s="41" t="s">
        <v>68</v>
      </c>
      <c r="E82" s="41" t="s">
        <v>69</v>
      </c>
      <c r="F82" s="41" t="s">
        <v>70</v>
      </c>
      <c r="G82" s="41" t="s">
        <v>71</v>
      </c>
      <c r="H82" s="41" t="s">
        <v>72</v>
      </c>
      <c r="I82" s="41" t="s">
        <v>73</v>
      </c>
      <c r="J82" s="41" t="s">
        <v>74</v>
      </c>
      <c r="K82" s="41" t="s">
        <v>75</v>
      </c>
      <c r="L82" s="41" t="s">
        <v>76</v>
      </c>
      <c r="M82" s="41" t="s">
        <v>77</v>
      </c>
    </row>
    <row r="83" ht="22.5" customHeight="1">
      <c r="A83" s="10" t="s">
        <v>17</v>
      </c>
      <c r="B83" s="10">
        <f t="shared" ref="B83:B94" si="5">B8</f>
        <v>22015</v>
      </c>
      <c r="C83" s="10">
        <f t="shared" ref="C83:C94" si="6">F8</f>
        <v>18.5</v>
      </c>
      <c r="D83" s="10">
        <f t="shared" ref="D83:E83" si="4">I8</f>
        <v>88</v>
      </c>
      <c r="E83" s="10">
        <f t="shared" si="4"/>
        <v>4150</v>
      </c>
      <c r="F83" s="42">
        <f t="shared" ref="F83:F94" si="8">F8*1.12</f>
        <v>20.72</v>
      </c>
      <c r="G83" s="42">
        <f t="shared" ref="G83:G94" si="9">I8*0.7</f>
        <v>61.6</v>
      </c>
      <c r="H83" s="42">
        <f t="shared" ref="H83:H94" si="10">B8*1.08</f>
        <v>23776.2</v>
      </c>
      <c r="I83" s="42">
        <f t="shared" ref="I83:I94" si="11">B8*1.07</f>
        <v>23556.05</v>
      </c>
      <c r="J83" s="43">
        <f t="shared" ref="J83:J94" si="12">B8*1.12*1.08*1.07</f>
        <v>28493.39808</v>
      </c>
      <c r="K83" s="43">
        <f t="shared" ref="K83:K94" si="13">J83*0.6</f>
        <v>17096.03885</v>
      </c>
      <c r="L83" s="43">
        <f t="shared" ref="L83:L94" si="14">J83-E83-G83-K83</f>
        <v>7185.759232</v>
      </c>
      <c r="M83" s="43">
        <f t="shared" ref="M83:M94" si="15">L83/J83*100</f>
        <v>25.21903218</v>
      </c>
    </row>
    <row r="84" ht="22.5" customHeight="1">
      <c r="A84" s="10" t="s">
        <v>78</v>
      </c>
      <c r="B84" s="10">
        <f t="shared" si="5"/>
        <v>20930</v>
      </c>
      <c r="C84" s="10">
        <f t="shared" si="6"/>
        <v>18.2</v>
      </c>
      <c r="D84" s="10">
        <f t="shared" ref="D84:E84" si="7">I9</f>
        <v>84</v>
      </c>
      <c r="E84" s="10">
        <f t="shared" si="7"/>
        <v>4100</v>
      </c>
      <c r="F84" s="42">
        <f t="shared" si="8"/>
        <v>20.384</v>
      </c>
      <c r="G84" s="42">
        <f t="shared" si="9"/>
        <v>58.8</v>
      </c>
      <c r="H84" s="42">
        <f t="shared" si="10"/>
        <v>22604.4</v>
      </c>
      <c r="I84" s="42">
        <f t="shared" si="11"/>
        <v>22395.1</v>
      </c>
      <c r="J84" s="43">
        <f t="shared" si="12"/>
        <v>27089.11296</v>
      </c>
      <c r="K84" s="43">
        <f t="shared" si="13"/>
        <v>16253.46778</v>
      </c>
      <c r="L84" s="43">
        <f t="shared" si="14"/>
        <v>6676.845184</v>
      </c>
      <c r="M84" s="43">
        <f t="shared" si="15"/>
        <v>24.64770697</v>
      </c>
    </row>
    <row r="85" ht="22.5" customHeight="1">
      <c r="A85" s="10" t="s">
        <v>79</v>
      </c>
      <c r="B85" s="10">
        <f t="shared" si="5"/>
        <v>23940</v>
      </c>
      <c r="C85" s="10">
        <f t="shared" si="6"/>
        <v>19</v>
      </c>
      <c r="D85" s="10">
        <f t="shared" ref="D85:E85" si="16">I10</f>
        <v>96</v>
      </c>
      <c r="E85" s="10">
        <f t="shared" si="16"/>
        <v>4150</v>
      </c>
      <c r="F85" s="42">
        <f t="shared" si="8"/>
        <v>21.28</v>
      </c>
      <c r="G85" s="42">
        <f t="shared" si="9"/>
        <v>67.2</v>
      </c>
      <c r="H85" s="42">
        <f t="shared" si="10"/>
        <v>25855.2</v>
      </c>
      <c r="I85" s="42">
        <f t="shared" si="11"/>
        <v>25615.8</v>
      </c>
      <c r="J85" s="43">
        <f t="shared" si="12"/>
        <v>30984.87168</v>
      </c>
      <c r="K85" s="43">
        <f t="shared" si="13"/>
        <v>18590.92301</v>
      </c>
      <c r="L85" s="43">
        <f t="shared" si="14"/>
        <v>8176.748672</v>
      </c>
      <c r="M85" s="43">
        <f t="shared" si="15"/>
        <v>26.38948696</v>
      </c>
    </row>
    <row r="86" ht="22.5" customHeight="1">
      <c r="A86" s="10" t="s">
        <v>80</v>
      </c>
      <c r="B86" s="10">
        <f t="shared" si="5"/>
        <v>22936</v>
      </c>
      <c r="C86" s="10">
        <f t="shared" si="6"/>
        <v>18.8</v>
      </c>
      <c r="D86" s="10">
        <f t="shared" ref="D86:E86" si="17">I11</f>
        <v>92</v>
      </c>
      <c r="E86" s="10">
        <f t="shared" si="17"/>
        <v>4200</v>
      </c>
      <c r="F86" s="42">
        <f t="shared" si="8"/>
        <v>21.056</v>
      </c>
      <c r="G86" s="42">
        <f t="shared" si="9"/>
        <v>64.4</v>
      </c>
      <c r="H86" s="42">
        <f t="shared" si="10"/>
        <v>24770.88</v>
      </c>
      <c r="I86" s="42">
        <f t="shared" si="11"/>
        <v>24541.52</v>
      </c>
      <c r="J86" s="43">
        <f t="shared" si="12"/>
        <v>29685.42259</v>
      </c>
      <c r="K86" s="43">
        <f t="shared" si="13"/>
        <v>17811.25356</v>
      </c>
      <c r="L86" s="43">
        <f t="shared" si="14"/>
        <v>7609.769037</v>
      </c>
      <c r="M86" s="43">
        <f t="shared" si="15"/>
        <v>25.63470004</v>
      </c>
    </row>
    <row r="87" ht="22.5" customHeight="1">
      <c r="A87" s="10" t="s">
        <v>81</v>
      </c>
      <c r="B87" s="10">
        <f t="shared" si="5"/>
        <v>24960</v>
      </c>
      <c r="C87" s="10">
        <f t="shared" si="6"/>
        <v>19.5</v>
      </c>
      <c r="D87" s="10">
        <f t="shared" ref="D87:E87" si="18">I12</f>
        <v>100</v>
      </c>
      <c r="E87" s="10">
        <f t="shared" si="18"/>
        <v>4250</v>
      </c>
      <c r="F87" s="42">
        <f t="shared" si="8"/>
        <v>21.84</v>
      </c>
      <c r="G87" s="42">
        <f t="shared" si="9"/>
        <v>70</v>
      </c>
      <c r="H87" s="42">
        <f t="shared" si="10"/>
        <v>26956.8</v>
      </c>
      <c r="I87" s="42">
        <f t="shared" si="11"/>
        <v>26707.2</v>
      </c>
      <c r="J87" s="43">
        <f t="shared" si="12"/>
        <v>32305.02912</v>
      </c>
      <c r="K87" s="43">
        <f t="shared" si="13"/>
        <v>19383.01747</v>
      </c>
      <c r="L87" s="43">
        <f t="shared" si="14"/>
        <v>8602.011648</v>
      </c>
      <c r="M87" s="43">
        <f t="shared" si="15"/>
        <v>26.6274691</v>
      </c>
    </row>
    <row r="88" ht="22.5" customHeight="1">
      <c r="A88" s="10" t="s">
        <v>82</v>
      </c>
      <c r="B88" s="10">
        <f t="shared" si="5"/>
        <v>26000</v>
      </c>
      <c r="C88" s="10">
        <f t="shared" si="6"/>
        <v>20</v>
      </c>
      <c r="D88" s="10">
        <f t="shared" ref="D88:E88" si="19">I13</f>
        <v>104</v>
      </c>
      <c r="E88" s="10">
        <f t="shared" si="19"/>
        <v>4350</v>
      </c>
      <c r="F88" s="42">
        <f t="shared" si="8"/>
        <v>22.4</v>
      </c>
      <c r="G88" s="42">
        <f t="shared" si="9"/>
        <v>72.8</v>
      </c>
      <c r="H88" s="42">
        <f t="shared" si="10"/>
        <v>28080</v>
      </c>
      <c r="I88" s="42">
        <f t="shared" si="11"/>
        <v>27820</v>
      </c>
      <c r="J88" s="43">
        <f t="shared" si="12"/>
        <v>33651.072</v>
      </c>
      <c r="K88" s="43">
        <f t="shared" si="13"/>
        <v>20190.6432</v>
      </c>
      <c r="L88" s="43">
        <f t="shared" si="14"/>
        <v>9037.6288</v>
      </c>
      <c r="M88" s="43">
        <f t="shared" si="15"/>
        <v>26.8568823</v>
      </c>
    </row>
    <row r="89" ht="22.5" customHeight="1">
      <c r="A89" s="10" t="s">
        <v>83</v>
      </c>
      <c r="B89" s="10">
        <f t="shared" si="5"/>
        <v>28085</v>
      </c>
      <c r="C89" s="10">
        <f t="shared" si="6"/>
        <v>20.5</v>
      </c>
      <c r="D89" s="10">
        <f t="shared" ref="D89:E89" si="20">I14</f>
        <v>112</v>
      </c>
      <c r="E89" s="10">
        <f t="shared" si="20"/>
        <v>4550</v>
      </c>
      <c r="F89" s="42">
        <f t="shared" si="8"/>
        <v>22.96</v>
      </c>
      <c r="G89" s="42">
        <f t="shared" si="9"/>
        <v>78.4</v>
      </c>
      <c r="H89" s="42">
        <f t="shared" si="10"/>
        <v>30331.8</v>
      </c>
      <c r="I89" s="42">
        <f t="shared" si="11"/>
        <v>30050.95</v>
      </c>
      <c r="J89" s="43">
        <f t="shared" si="12"/>
        <v>36349.62912</v>
      </c>
      <c r="K89" s="43">
        <f t="shared" si="13"/>
        <v>21809.77747</v>
      </c>
      <c r="L89" s="43">
        <f t="shared" si="14"/>
        <v>9911.451648</v>
      </c>
      <c r="M89" s="43">
        <f t="shared" si="15"/>
        <v>27.26699526</v>
      </c>
    </row>
    <row r="90" ht="22.5" customHeight="1">
      <c r="A90" s="10" t="s">
        <v>84</v>
      </c>
      <c r="B90" s="10">
        <f t="shared" si="5"/>
        <v>27000</v>
      </c>
      <c r="C90" s="10">
        <f t="shared" si="6"/>
        <v>20</v>
      </c>
      <c r="D90" s="10">
        <f t="shared" ref="D90:E90" si="21">I15</f>
        <v>108</v>
      </c>
      <c r="E90" s="10">
        <f t="shared" si="21"/>
        <v>4500</v>
      </c>
      <c r="F90" s="42">
        <f t="shared" si="8"/>
        <v>22.4</v>
      </c>
      <c r="G90" s="42">
        <f t="shared" si="9"/>
        <v>75.6</v>
      </c>
      <c r="H90" s="42">
        <f t="shared" si="10"/>
        <v>29160</v>
      </c>
      <c r="I90" s="42">
        <f t="shared" si="11"/>
        <v>28890</v>
      </c>
      <c r="J90" s="43">
        <f t="shared" si="12"/>
        <v>34945.344</v>
      </c>
      <c r="K90" s="43">
        <f t="shared" si="13"/>
        <v>20967.2064</v>
      </c>
      <c r="L90" s="43">
        <f t="shared" si="14"/>
        <v>9402.5376</v>
      </c>
      <c r="M90" s="43">
        <f t="shared" si="15"/>
        <v>26.90641019</v>
      </c>
    </row>
    <row r="91" ht="22.5" customHeight="1">
      <c r="A91" s="10" t="s">
        <v>85</v>
      </c>
      <c r="B91" s="10">
        <f t="shared" si="5"/>
        <v>23940</v>
      </c>
      <c r="C91" s="10">
        <f t="shared" si="6"/>
        <v>19</v>
      </c>
      <c r="D91" s="10">
        <f t="shared" ref="D91:E91" si="22">I16</f>
        <v>96</v>
      </c>
      <c r="E91" s="10">
        <f t="shared" si="22"/>
        <v>4250</v>
      </c>
      <c r="F91" s="42">
        <f t="shared" si="8"/>
        <v>21.28</v>
      </c>
      <c r="G91" s="42">
        <f t="shared" si="9"/>
        <v>67.2</v>
      </c>
      <c r="H91" s="42">
        <f t="shared" si="10"/>
        <v>25855.2</v>
      </c>
      <c r="I91" s="42">
        <f t="shared" si="11"/>
        <v>25615.8</v>
      </c>
      <c r="J91" s="43">
        <f t="shared" si="12"/>
        <v>30984.87168</v>
      </c>
      <c r="K91" s="43">
        <f t="shared" si="13"/>
        <v>18590.92301</v>
      </c>
      <c r="L91" s="43">
        <f t="shared" si="14"/>
        <v>8076.748672</v>
      </c>
      <c r="M91" s="43">
        <f t="shared" si="15"/>
        <v>26.06674882</v>
      </c>
    </row>
    <row r="92" ht="22.5" customHeight="1">
      <c r="A92" s="10" t="s">
        <v>86</v>
      </c>
      <c r="B92" s="10">
        <f t="shared" si="5"/>
        <v>22936</v>
      </c>
      <c r="C92" s="10">
        <f t="shared" si="6"/>
        <v>18.8</v>
      </c>
      <c r="D92" s="10">
        <f t="shared" ref="D92:E92" si="23">I17</f>
        <v>92</v>
      </c>
      <c r="E92" s="10">
        <f t="shared" si="23"/>
        <v>4200</v>
      </c>
      <c r="F92" s="42">
        <f t="shared" si="8"/>
        <v>21.056</v>
      </c>
      <c r="G92" s="42">
        <f t="shared" si="9"/>
        <v>64.4</v>
      </c>
      <c r="H92" s="42">
        <f t="shared" si="10"/>
        <v>24770.88</v>
      </c>
      <c r="I92" s="42">
        <f t="shared" si="11"/>
        <v>24541.52</v>
      </c>
      <c r="J92" s="43">
        <f t="shared" si="12"/>
        <v>29685.42259</v>
      </c>
      <c r="K92" s="43">
        <f t="shared" si="13"/>
        <v>17811.25356</v>
      </c>
      <c r="L92" s="43">
        <f t="shared" si="14"/>
        <v>7609.769037</v>
      </c>
      <c r="M92" s="43">
        <f t="shared" si="15"/>
        <v>25.63470004</v>
      </c>
    </row>
    <row r="93" ht="22.5" customHeight="1">
      <c r="A93" s="10" t="s">
        <v>87</v>
      </c>
      <c r="B93" s="10">
        <f t="shared" si="5"/>
        <v>24960</v>
      </c>
      <c r="C93" s="10">
        <f t="shared" si="6"/>
        <v>19.2</v>
      </c>
      <c r="D93" s="10">
        <f t="shared" ref="D93:E93" si="24">I18</f>
        <v>100</v>
      </c>
      <c r="E93" s="10">
        <f t="shared" si="24"/>
        <v>4300</v>
      </c>
      <c r="F93" s="42">
        <f t="shared" si="8"/>
        <v>21.504</v>
      </c>
      <c r="G93" s="42">
        <f t="shared" si="9"/>
        <v>70</v>
      </c>
      <c r="H93" s="42">
        <f t="shared" si="10"/>
        <v>26956.8</v>
      </c>
      <c r="I93" s="42">
        <f t="shared" si="11"/>
        <v>26707.2</v>
      </c>
      <c r="J93" s="43">
        <f t="shared" si="12"/>
        <v>32305.02912</v>
      </c>
      <c r="K93" s="43">
        <f t="shared" si="13"/>
        <v>19383.01747</v>
      </c>
      <c r="L93" s="43">
        <f t="shared" si="14"/>
        <v>8552.011648</v>
      </c>
      <c r="M93" s="43">
        <f t="shared" si="15"/>
        <v>26.47269444</v>
      </c>
    </row>
    <row r="94" ht="22.5" customHeight="1">
      <c r="A94" s="10" t="s">
        <v>88</v>
      </c>
      <c r="B94" s="10">
        <f t="shared" si="5"/>
        <v>27930</v>
      </c>
      <c r="C94" s="10">
        <f t="shared" si="6"/>
        <v>21</v>
      </c>
      <c r="D94" s="10">
        <f t="shared" ref="D94:E94" si="25">I19</f>
        <v>112</v>
      </c>
      <c r="E94" s="10">
        <f t="shared" si="25"/>
        <v>6240</v>
      </c>
      <c r="F94" s="42">
        <f t="shared" si="8"/>
        <v>23.52</v>
      </c>
      <c r="G94" s="42">
        <f t="shared" si="9"/>
        <v>78.4</v>
      </c>
      <c r="H94" s="42">
        <f t="shared" si="10"/>
        <v>30164.4</v>
      </c>
      <c r="I94" s="42">
        <f t="shared" si="11"/>
        <v>29885.1</v>
      </c>
      <c r="J94" s="43">
        <f t="shared" si="12"/>
        <v>36149.01696</v>
      </c>
      <c r="K94" s="43">
        <f t="shared" si="13"/>
        <v>21689.41018</v>
      </c>
      <c r="L94" s="43">
        <f t="shared" si="14"/>
        <v>8141.206784</v>
      </c>
      <c r="M94" s="43">
        <f t="shared" si="15"/>
        <v>22.52123977</v>
      </c>
    </row>
    <row r="95">
      <c r="F95" s="44"/>
      <c r="G95" s="29"/>
      <c r="I95" s="29"/>
    </row>
    <row r="96">
      <c r="A96" s="21" t="s">
        <v>41</v>
      </c>
      <c r="B96" s="22">
        <f>AVERAGE(Proyección_aplicando_IA_[Ingresos actuales])</f>
        <v>24636</v>
      </c>
      <c r="C96" s="23">
        <f>AVERAGE(Proyección_aplicando_IA_[Ticket actual])</f>
        <v>19.375</v>
      </c>
      <c r="D96" s="25">
        <f>AVERAGE(Proyección_aplicando_IA_[Mermas actuales])</f>
        <v>98.66666667</v>
      </c>
      <c r="E96" s="23">
        <f>AVERAGE(Proyección_aplicando_IA_[Gastos operativos])</f>
        <v>4436.666667</v>
      </c>
      <c r="F96" s="25">
        <f>AVERAGE(Proyección_aplicando_IA_[Nuevo Ticket])</f>
        <v>21.7</v>
      </c>
      <c r="G96" s="22">
        <f>AVERAGE(Proyección_aplicando_IA_[Nuevas Mermas])</f>
        <v>69.06666667</v>
      </c>
      <c r="H96" s="25">
        <f>AVERAGE(Proyección_aplicando_IA_[Ingresos +8%])</f>
        <v>26606.88</v>
      </c>
      <c r="I96" s="25">
        <f>AVERAGE(Proyección_aplicando_IA_[Ingresos +7%])</f>
        <v>26360.52</v>
      </c>
      <c r="J96" s="26">
        <f>AVERAGE(Proyección_aplicando_IA_[Ingresos Totales Nuevos])</f>
        <v>31885.68499</v>
      </c>
      <c r="K96" s="27">
        <f>AVERAGE(Proyección_aplicando_IA_[Nuevo Coste (€)])</f>
        <v>19131.411</v>
      </c>
      <c r="L96" s="27">
        <f>AVERAGE(Proyección_aplicando_IA_[Ganancia Neta Nueva (€)])</f>
        <v>8248.540663</v>
      </c>
      <c r="M96" s="27">
        <f>AVERAGE(Proyección_aplicando_IA_[Margen Neto (%)])</f>
        <v>25.85367217</v>
      </c>
    </row>
    <row r="97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</row>
    <row r="98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</row>
    <row r="99"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</row>
    <row r="100"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</row>
    <row r="101">
      <c r="A101" s="46" t="s">
        <v>89</v>
      </c>
      <c r="B101" s="46" t="s">
        <v>90</v>
      </c>
      <c r="C101" s="46" t="s">
        <v>91</v>
      </c>
      <c r="D101" s="46" t="s">
        <v>92</v>
      </c>
      <c r="E101" s="46" t="s">
        <v>93</v>
      </c>
      <c r="F101" s="23" t="s">
        <v>94</v>
      </c>
      <c r="G101" s="8"/>
      <c r="H101" s="9"/>
    </row>
    <row r="102">
      <c r="A102" s="14" t="s">
        <v>95</v>
      </c>
      <c r="B102" s="14">
        <v>2383.0</v>
      </c>
      <c r="C102" s="14">
        <v>2911.0</v>
      </c>
      <c r="D102" s="47" t="s">
        <v>96</v>
      </c>
      <c r="E102" s="14" t="s">
        <v>97</v>
      </c>
      <c r="F102" s="15" t="s">
        <v>98</v>
      </c>
      <c r="H102" s="16"/>
    </row>
    <row r="103">
      <c r="A103" s="14" t="s">
        <v>99</v>
      </c>
      <c r="B103" s="48">
        <v>46161.0</v>
      </c>
      <c r="C103" s="48">
        <v>46224.0</v>
      </c>
      <c r="D103" s="47" t="s">
        <v>100</v>
      </c>
      <c r="E103" s="14" t="s">
        <v>101</v>
      </c>
      <c r="F103" s="15" t="s">
        <v>102</v>
      </c>
      <c r="H103" s="16"/>
    </row>
    <row r="104">
      <c r="A104" s="14" t="s">
        <v>103</v>
      </c>
      <c r="B104" s="48">
        <v>46146.0</v>
      </c>
      <c r="C104" s="48">
        <v>46087.0</v>
      </c>
      <c r="D104" s="47" t="s">
        <v>104</v>
      </c>
      <c r="E104" s="14" t="s">
        <v>105</v>
      </c>
      <c r="F104" s="15" t="s">
        <v>106</v>
      </c>
      <c r="H104" s="16"/>
    </row>
    <row r="105">
      <c r="A105" s="49"/>
      <c r="B105" s="49"/>
      <c r="C105" s="49"/>
      <c r="D105" s="50"/>
      <c r="E105" s="49"/>
      <c r="H105" s="16"/>
    </row>
    <row r="106">
      <c r="A106" s="14" t="s">
        <v>107</v>
      </c>
      <c r="B106" s="14">
        <v>99.0</v>
      </c>
      <c r="C106" s="14">
        <v>69.0</v>
      </c>
      <c r="D106" s="47">
        <v>-30.0</v>
      </c>
      <c r="E106" s="14" t="s">
        <v>108</v>
      </c>
      <c r="F106" s="15" t="s">
        <v>109</v>
      </c>
      <c r="H106" s="16"/>
    </row>
    <row r="107">
      <c r="A107" s="17" t="s">
        <v>110</v>
      </c>
      <c r="B107" s="51">
        <v>0.4</v>
      </c>
      <c r="C107" s="51">
        <v>0.44</v>
      </c>
      <c r="D107" s="52" t="s">
        <v>111</v>
      </c>
      <c r="E107" s="17" t="s">
        <v>111</v>
      </c>
      <c r="F107" s="18" t="s">
        <v>112</v>
      </c>
      <c r="G107" s="19"/>
      <c r="H107" s="20"/>
    </row>
    <row r="110">
      <c r="A110" s="15" t="s">
        <v>113</v>
      </c>
    </row>
    <row r="112">
      <c r="A112" s="15" t="s">
        <v>114</v>
      </c>
      <c r="B112" s="15" t="s">
        <v>115</v>
      </c>
      <c r="C112" s="15" t="s">
        <v>116</v>
      </c>
      <c r="D112" s="15" t="s">
        <v>117</v>
      </c>
    </row>
    <row r="113">
      <c r="A113" s="15" t="s">
        <v>118</v>
      </c>
      <c r="B113" s="15">
        <v>28596.0</v>
      </c>
      <c r="C113" s="15">
        <v>34932.0</v>
      </c>
      <c r="D113" s="15" t="s">
        <v>119</v>
      </c>
    </row>
    <row r="114">
      <c r="A114" s="15" t="s">
        <v>120</v>
      </c>
      <c r="B114" s="15">
        <v>11424.0</v>
      </c>
      <c r="C114" s="15">
        <v>15372.0</v>
      </c>
      <c r="D114" s="15" t="s">
        <v>121</v>
      </c>
    </row>
    <row r="115">
      <c r="A115" s="15" t="s">
        <v>122</v>
      </c>
      <c r="B115" s="15">
        <v>1188.0</v>
      </c>
      <c r="C115" s="15">
        <v>828.0</v>
      </c>
      <c r="D115" s="15" t="s">
        <v>123</v>
      </c>
    </row>
    <row r="116">
      <c r="A116" s="15" t="s">
        <v>124</v>
      </c>
      <c r="B116" s="15">
        <v>10236.0</v>
      </c>
      <c r="C116" s="15">
        <v>14544.0</v>
      </c>
      <c r="D116" s="15" t="s">
        <v>125</v>
      </c>
    </row>
    <row r="119">
      <c r="A119" s="15" t="s">
        <v>126</v>
      </c>
    </row>
    <row r="121">
      <c r="A121" s="15" t="s">
        <v>127</v>
      </c>
    </row>
    <row r="123">
      <c r="A123" s="15" t="s">
        <v>128</v>
      </c>
      <c r="B123" s="15" t="s">
        <v>46</v>
      </c>
      <c r="C123" s="15" t="s">
        <v>129</v>
      </c>
      <c r="D123" s="15" t="s">
        <v>130</v>
      </c>
      <c r="E123" s="15" t="s">
        <v>131</v>
      </c>
      <c r="F123" s="15" t="s">
        <v>132</v>
      </c>
    </row>
    <row r="124">
      <c r="A124" s="15">
        <v>1.0</v>
      </c>
      <c r="B124" s="15" t="s">
        <v>133</v>
      </c>
      <c r="C124" s="53" t="s">
        <v>134</v>
      </c>
      <c r="D124" s="15" t="s">
        <v>135</v>
      </c>
      <c r="E124" s="15" t="s">
        <v>136</v>
      </c>
      <c r="F124" s="15" t="s">
        <v>137</v>
      </c>
    </row>
    <row r="125">
      <c r="A125" s="15">
        <v>2.0</v>
      </c>
      <c r="B125" s="15" t="s">
        <v>138</v>
      </c>
      <c r="C125" s="53" t="s">
        <v>139</v>
      </c>
      <c r="D125" s="15" t="s">
        <v>140</v>
      </c>
      <c r="E125" s="15" t="s">
        <v>136</v>
      </c>
      <c r="F125" s="15" t="s">
        <v>141</v>
      </c>
    </row>
    <row r="126">
      <c r="A126" s="15">
        <v>3.0</v>
      </c>
      <c r="B126" s="15" t="s">
        <v>142</v>
      </c>
      <c r="C126" s="53" t="s">
        <v>143</v>
      </c>
      <c r="D126" s="15" t="s">
        <v>144</v>
      </c>
      <c r="E126" s="15" t="s">
        <v>136</v>
      </c>
      <c r="F126" s="15" t="s">
        <v>145</v>
      </c>
    </row>
    <row r="127">
      <c r="A127" s="15">
        <v>4.0</v>
      </c>
      <c r="B127" s="15" t="s">
        <v>146</v>
      </c>
      <c r="C127" s="53" t="s">
        <v>147</v>
      </c>
      <c r="D127" s="15" t="s">
        <v>144</v>
      </c>
      <c r="E127" s="15" t="s">
        <v>136</v>
      </c>
      <c r="F127" s="15" t="s">
        <v>148</v>
      </c>
    </row>
    <row r="128">
      <c r="A128" s="15">
        <v>5.0</v>
      </c>
      <c r="B128" s="15" t="s">
        <v>149</v>
      </c>
      <c r="C128" s="53" t="s">
        <v>150</v>
      </c>
      <c r="D128" s="15" t="s">
        <v>144</v>
      </c>
      <c r="E128" s="15" t="s">
        <v>136</v>
      </c>
      <c r="F128" s="15" t="s">
        <v>151</v>
      </c>
    </row>
    <row r="129">
      <c r="A129" s="15">
        <v>6.0</v>
      </c>
      <c r="B129" s="15" t="s">
        <v>152</v>
      </c>
      <c r="C129" s="53" t="s">
        <v>153</v>
      </c>
      <c r="D129" s="15" t="s">
        <v>144</v>
      </c>
      <c r="E129" s="15" t="s">
        <v>154</v>
      </c>
      <c r="F129" s="15" t="s">
        <v>155</v>
      </c>
    </row>
    <row r="130">
      <c r="A130" s="15">
        <v>7.0</v>
      </c>
      <c r="B130" s="15" t="s">
        <v>156</v>
      </c>
      <c r="C130" s="53" t="s">
        <v>157</v>
      </c>
      <c r="D130" s="15" t="s">
        <v>144</v>
      </c>
      <c r="E130" s="15" t="s">
        <v>154</v>
      </c>
      <c r="F130" s="15" t="s">
        <v>158</v>
      </c>
    </row>
    <row r="131">
      <c r="A131" s="15">
        <v>8.0</v>
      </c>
      <c r="B131" s="15" t="s">
        <v>159</v>
      </c>
      <c r="C131" s="53" t="s">
        <v>160</v>
      </c>
      <c r="D131" s="15" t="s">
        <v>144</v>
      </c>
      <c r="E131" s="15" t="s">
        <v>154</v>
      </c>
      <c r="F131" s="15" t="s">
        <v>161</v>
      </c>
    </row>
    <row r="132">
      <c r="A132" s="15">
        <v>10.0</v>
      </c>
      <c r="C132" s="53" t="s">
        <v>162</v>
      </c>
    </row>
    <row r="133">
      <c r="A133" s="15" t="s">
        <v>163</v>
      </c>
    </row>
    <row r="134">
      <c r="A134" s="15" t="s">
        <v>164</v>
      </c>
    </row>
    <row r="136">
      <c r="A136" s="15" t="s">
        <v>165</v>
      </c>
    </row>
    <row r="138">
      <c r="A138" s="15" t="s">
        <v>166</v>
      </c>
    </row>
    <row r="139">
      <c r="A139" s="15" t="s">
        <v>167</v>
      </c>
    </row>
    <row r="140">
      <c r="A140" s="15" t="s">
        <v>168</v>
      </c>
    </row>
    <row r="141">
      <c r="A141" s="15" t="s">
        <v>169</v>
      </c>
    </row>
    <row r="142">
      <c r="A142" s="15" t="s">
        <v>170</v>
      </c>
    </row>
    <row r="143">
      <c r="A143" s="15" t="s">
        <v>171</v>
      </c>
    </row>
  </sheetData>
  <mergeCells count="1">
    <mergeCell ref="A1:J1"/>
  </mergeCells>
  <dataValidations>
    <dataValidation type="custom" allowBlank="1" showDropDown="1" sqref="E8:E19 H8:H19 J8:K19 J83:K94 M83:M94">
      <formula1>AND(ISNUMBER(E8),(NOT(OR(NOT(ISERROR(DATEVALUE(E8))), AND(ISNUMBER(E8), LEFT(CELL("format", E8))="D")))))</formula1>
    </dataValidation>
  </dataValidations>
  <hyperlinks>
    <hyperlink r:id="rId1" ref="H73"/>
    <hyperlink r:id="rId2" ref="H74"/>
    <hyperlink r:id="rId3" ref="H75"/>
    <hyperlink r:id="rId4" ref="H76"/>
    <hyperlink r:id="rId5" ref="C124"/>
    <hyperlink r:id="rId6" ref="C125"/>
    <hyperlink r:id="rId7" ref="C126"/>
    <hyperlink r:id="rId8" ref="C127"/>
    <hyperlink r:id="rId9" ref="C128"/>
    <hyperlink r:id="rId10" ref="C129"/>
    <hyperlink r:id="rId11" ref="C130"/>
    <hyperlink r:id="rId12" ref="C131"/>
    <hyperlink r:id="rId13" ref="C132"/>
  </hyperlinks>
  <drawing r:id="rId14"/>
  <tableParts count="2">
    <tablePart r:id="rId17"/>
    <tablePart r:id="rId18"/>
  </tableParts>
</worksheet>
</file>